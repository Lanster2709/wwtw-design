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573E005971505D/Documents/"/>
    </mc:Choice>
  </mc:AlternateContent>
  <xr:revisionPtr revIDLastSave="311" documentId="8_{D815FE4C-8060-4240-8A83-DFFA38803A91}" xr6:coauthVersionLast="47" xr6:coauthVersionMax="47" xr10:uidLastSave="{C28FE5BF-9C15-43E6-857F-D6DC318E9DB0}"/>
  <bookViews>
    <workbookView xWindow="-90" yWindow="0" windowWidth="11370" windowHeight="11370" activeTab="1" xr2:uid="{1B5767EC-F8E6-49E9-8072-E9EF0C9EE9E5}"/>
  </bookViews>
  <sheets>
    <sheet name="Input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4" i="1" l="1"/>
  <c r="C43" i="1"/>
  <c r="C42" i="1"/>
  <c r="C41" i="1"/>
  <c r="C31" i="1"/>
  <c r="C30" i="1"/>
  <c r="C28" i="1"/>
  <c r="C46" i="1"/>
  <c r="C40" i="1"/>
  <c r="C39" i="1"/>
  <c r="C38" i="1"/>
  <c r="C37" i="1"/>
  <c r="C36" i="1"/>
  <c r="C35" i="1"/>
  <c r="C34" i="1"/>
  <c r="C33" i="1"/>
  <c r="C32" i="1"/>
  <c r="C27" i="1"/>
  <c r="C26" i="1"/>
  <c r="C25" i="1"/>
  <c r="C24" i="1"/>
  <c r="C29" i="1" l="1"/>
</calcChain>
</file>

<file path=xl/sharedStrings.xml><?xml version="1.0" encoding="utf-8"?>
<sst xmlns="http://schemas.openxmlformats.org/spreadsheetml/2006/main" count="185" uniqueCount="134">
  <si>
    <t>Parameter</t>
  </si>
  <si>
    <t>Symbol</t>
  </si>
  <si>
    <t>Value</t>
  </si>
  <si>
    <t>Unit</t>
  </si>
  <si>
    <t>Status and source</t>
  </si>
  <si>
    <t>Preliminary design of a 50,000 PE activated sludge works: design basis</t>
  </si>
  <si>
    <t>Inputs</t>
  </si>
  <si>
    <t xml:space="preserve">Discharge consents </t>
  </si>
  <si>
    <t>Calculated values</t>
  </si>
  <si>
    <t>Population served</t>
  </si>
  <si>
    <t>BOD5 per PE</t>
  </si>
  <si>
    <t>Domestic flow</t>
  </si>
  <si>
    <t>Infiltration</t>
  </si>
  <si>
    <t>Suspended solids per head</t>
  </si>
  <si>
    <t>Ammonia-N per head</t>
  </si>
  <si>
    <t>Organic N per head</t>
  </si>
  <si>
    <t>COD:BOD ratio</t>
  </si>
  <si>
    <t>FFT multiplier</t>
  </si>
  <si>
    <t>Trade effluent</t>
  </si>
  <si>
    <t>Winter temperature</t>
  </si>
  <si>
    <t>Summer temperature</t>
  </si>
  <si>
    <t>BOD5 consent</t>
  </si>
  <si>
    <t>COD consent</t>
  </si>
  <si>
    <t>SS consent</t>
  </si>
  <si>
    <t>Ammonia-N consent</t>
  </si>
  <si>
    <t xml:space="preserve">P </t>
  </si>
  <si>
    <t>-</t>
  </si>
  <si>
    <t>G</t>
  </si>
  <si>
    <t>I</t>
  </si>
  <si>
    <t>E</t>
  </si>
  <si>
    <t>Tw</t>
  </si>
  <si>
    <t>Ts</t>
  </si>
  <si>
    <t>Design choice (PE=P)</t>
  </si>
  <si>
    <t>Definition: Directive 91/271/EEC Art 2(6)</t>
  </si>
  <si>
    <t>Guidance: SEPA, typically 150</t>
  </si>
  <si>
    <t xml:space="preserve">Assumption </t>
  </si>
  <si>
    <t>Secondary source: Peiris (WEDC), citing WTI 1994</t>
  </si>
  <si>
    <t>Secondary source: same</t>
  </si>
  <si>
    <t>Weak source: lecture notes, typical 5.4-5.5</t>
  </si>
  <si>
    <t xml:space="preserve">Xylem: 1.8-2.2 typical </t>
  </si>
  <si>
    <t>SEPA: FFT = 3PG + Imax + 3E</t>
  </si>
  <si>
    <t xml:space="preserve">Assumption: domestic only </t>
  </si>
  <si>
    <t xml:space="preserve">Assumption, not sourced </t>
  </si>
  <si>
    <t>Assumption: not sourced</t>
  </si>
  <si>
    <t>Directive Annex I Table 1</t>
  </si>
  <si>
    <t xml:space="preserve">Directive Annex I Table of </t>
  </si>
  <si>
    <t>Directive Annex I Table 1 (over 10,000 p.e.)</t>
  </si>
  <si>
    <t>Assumption (site-specific in reality)</t>
  </si>
  <si>
    <t>Flow per head, total</t>
  </si>
  <si>
    <t>Dry weather flow (DWF)</t>
  </si>
  <si>
    <t>DWF</t>
  </si>
  <si>
    <t>Flow to full treatment (FFT)</t>
  </si>
  <si>
    <t>FFT</t>
  </si>
  <si>
    <t>BOD load</t>
  </si>
  <si>
    <t xml:space="preserve">BOD concentration	</t>
  </si>
  <si>
    <t>SS load</t>
  </si>
  <si>
    <t>SS concentration</t>
  </si>
  <si>
    <t>Ammonia-N load</t>
  </si>
  <si>
    <t>TKN load</t>
  </si>
  <si>
    <t xml:space="preserve">TKN concentration	</t>
  </si>
  <si>
    <t>Ammonia-N concentration</t>
  </si>
  <si>
    <t xml:space="preserve">COD concentration	</t>
  </si>
  <si>
    <t>COD load</t>
  </si>
  <si>
    <t>Required BOD removal</t>
  </si>
  <si>
    <t>Required COD removal</t>
  </si>
  <si>
    <t>Required SS removal</t>
  </si>
  <si>
    <t>Ammonia removal (vs influent ammonia)</t>
  </si>
  <si>
    <t>Check: flow × conc − load</t>
  </si>
  <si>
    <t>persons</t>
  </si>
  <si>
    <t>g/d</t>
  </si>
  <si>
    <t>L/head/d</t>
  </si>
  <si>
    <t xml:space="preserve">g/head/d	</t>
  </si>
  <si>
    <t>g N/head/d</t>
  </si>
  <si>
    <t>m³/d</t>
  </si>
  <si>
    <t>°C</t>
  </si>
  <si>
    <t>mg/L</t>
  </si>
  <si>
    <t>m³/h</t>
  </si>
  <si>
    <t>m³/s</t>
  </si>
  <si>
    <t>kg/d</t>
  </si>
  <si>
    <t>kg N/d</t>
  </si>
  <si>
    <t>%</t>
  </si>
  <si>
    <t>Design basis is textbook and guidance-based, not measured site data.</t>
  </si>
  <si>
    <t>Infiltration, trade effluent, temperatures and the ammonia consent are assumptions.</t>
  </si>
  <si>
    <t>SS and ammonia loads come from a secondary source (WTI 1994 via Peiris, WEDC); organic N comes from lecture notes.</t>
  </si>
  <si>
    <t>Consent limits are treated as upper limits, which is conservative, since the Directive allows a set number of failed samples.</t>
  </si>
  <si>
    <t>The Directive’s BOD limit is measured without nitrification, so nitrification oxygen demand is additional.</t>
  </si>
  <si>
    <t>Item</t>
  </si>
  <si>
    <t>Status</t>
  </si>
  <si>
    <t>Source</t>
  </si>
  <si>
    <t>Primary overflow rate at DWF</t>
  </si>
  <si>
    <t xml:space="preserve">m³/m²/d	</t>
  </si>
  <si>
    <t>Typical (range 30–50)</t>
  </si>
  <si>
    <t>SNU lecture notes L14 (ocw.snu.ac.kr)</t>
  </si>
  <si>
    <t>Primary overflow rate at FFT</t>
  </si>
  <si>
    <t>Primary retention time at DWF</t>
  </si>
  <si>
    <t>BOD removal</t>
  </si>
  <si>
    <t>Within 25–40%</t>
  </si>
  <si>
    <t>SNU L14; CED Engineering primary treatment text</t>
  </si>
  <si>
    <t>SS removal</t>
  </si>
  <si>
    <t>Within 50–65%</t>
  </si>
  <si>
    <t>CED Engineering (SNU L14 gives 50–70%)</t>
  </si>
  <si>
    <t>COD removal</t>
  </si>
  <si>
    <t>Assumption (same as BOD)</t>
  </si>
  <si>
    <t>–</t>
  </si>
  <si>
    <t>TKN removal</t>
  </si>
  <si>
    <t>Assumption</t>
  </si>
  <si>
    <t>Ammonia-N removal</t>
  </si>
  <si>
    <t>Assumption (soluble, unchanged)</t>
  </si>
  <si>
    <t>Number of primary tanks</t>
  </si>
  <si>
    <t>Design choice</t>
  </si>
  <si>
    <t>Screen velocity through openings</t>
  </si>
  <si>
    <t>m/s</t>
  </si>
  <si>
    <t>Within 0.6–1.2</t>
  </si>
  <si>
    <t>NPTEL Lecture 21 (screening)</t>
  </si>
  <si>
    <t>Screen clear spacing</t>
  </si>
  <si>
    <t>mm</t>
  </si>
  <si>
    <t>Design choice (medium screens 20–50 mm)</t>
  </si>
  <si>
    <t>NPTEL Lecture 21</t>
  </si>
  <si>
    <t>Screen bar width</t>
  </si>
  <si>
    <t>Typical (~10 mm bars)</t>
  </si>
  <si>
    <t>Clean-screen headloss</t>
  </si>
  <si>
    <t>0.0729(V² − v²)</t>
  </si>
  <si>
    <t>m</t>
  </si>
  <si>
    <t>Formula from source</t>
  </si>
  <si>
    <t>Grit detention time at FFT</t>
  </si>
  <si>
    <t>s</t>
  </si>
  <si>
    <t>waterandwastewater.com: “30 seconds to several minutes” (page cites no source)</t>
  </si>
  <si>
    <t>m³/m²/d</t>
  </si>
  <si>
    <t>Typical (range 80–120)</t>
  </si>
  <si>
    <t>SNU lecture notes L14</t>
  </si>
  <si>
    <t>h</t>
  </si>
  <si>
    <t>Typical (range 1.5–2.5)</t>
  </si>
  <si>
    <t>SNU L14; CED Engineering text gives 1.5 h before activated sludge</t>
  </si>
  <si>
    <t>Step 2 criteria come mainly from US and Indian lecture and textbook material, not UK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</si>
</sst>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Continuous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11882-5DEB-40AE-A890-C0F7596B9438}" name="Table1" displayName="Table1" ref="A8:E22" totalsRowShown="0" headerRowDxfId="0">
  <autoFilter ref="A8:E22" xr:uid="{2E011882-5DEB-40AE-A890-C0F7596B9438}"/>
  <tableColumns count="5">
    <tableColumn id="1" xr3:uid="{2CFF8964-333B-41B4-B18E-46667A53AAB1}" name="Item"/>
    <tableColumn id="2" xr3:uid="{DC7A92A5-1FA4-4DDE-94AE-66B61981549E}" name="Value"/>
    <tableColumn id="3" xr3:uid="{9C223776-9549-457C-A73D-AFD3B125CC0B}" name="Unit"/>
    <tableColumn id="4" xr3:uid="{BFA6D36A-B2FF-4DF6-BCC2-32682A12449C}" name="Status"/>
    <tableColumn id="5" xr3:uid="{97599BD9-7AB3-4E4D-8F96-F42A35E5828B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83C0-63E3-4C90-939B-4F007AF63D41}">
  <dimension ref="A1:E49"/>
  <sheetViews>
    <sheetView zoomScale="62" workbookViewId="0">
      <selection activeCell="H7" sqref="H7"/>
    </sheetView>
  </sheetViews>
  <sheetFormatPr defaultRowHeight="14.5" x14ac:dyDescent="0.35"/>
  <cols>
    <col min="1" max="1" width="35.36328125" customWidth="1"/>
    <col min="2" max="2" width="6.6328125" bestFit="1" customWidth="1"/>
    <col min="3" max="4" width="11.6328125" customWidth="1"/>
    <col min="5" max="5" width="41" customWidth="1"/>
  </cols>
  <sheetData>
    <row r="1" spans="1:5" ht="18.5" x14ac:dyDescent="0.45">
      <c r="A1" s="9" t="s">
        <v>5</v>
      </c>
      <c r="E1" s="8"/>
    </row>
    <row r="3" spans="1:5" x14ac:dyDescent="0.35">
      <c r="A3" s="1" t="s">
        <v>6</v>
      </c>
    </row>
    <row r="4" spans="1:5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35">
      <c r="A5" t="s">
        <v>9</v>
      </c>
      <c r="B5" t="s">
        <v>25</v>
      </c>
      <c r="C5">
        <v>50000</v>
      </c>
      <c r="D5" t="s">
        <v>68</v>
      </c>
      <c r="E5" t="s">
        <v>32</v>
      </c>
    </row>
    <row r="6" spans="1:5" x14ac:dyDescent="0.35">
      <c r="A6" t="s">
        <v>10</v>
      </c>
      <c r="B6" t="s">
        <v>26</v>
      </c>
      <c r="C6">
        <v>60</v>
      </c>
      <c r="D6" t="s">
        <v>69</v>
      </c>
      <c r="E6" t="s">
        <v>33</v>
      </c>
    </row>
    <row r="7" spans="1:5" x14ac:dyDescent="0.35">
      <c r="A7" t="s">
        <v>11</v>
      </c>
      <c r="B7" t="s">
        <v>27</v>
      </c>
      <c r="C7">
        <v>150</v>
      </c>
      <c r="D7" t="s">
        <v>70</v>
      </c>
      <c r="E7" t="s">
        <v>34</v>
      </c>
    </row>
    <row r="8" spans="1:5" x14ac:dyDescent="0.35">
      <c r="A8" t="s">
        <v>12</v>
      </c>
      <c r="B8" t="s">
        <v>28</v>
      </c>
      <c r="C8">
        <v>50</v>
      </c>
      <c r="D8" t="s">
        <v>70</v>
      </c>
      <c r="E8" t="s">
        <v>35</v>
      </c>
    </row>
    <row r="9" spans="1:5" x14ac:dyDescent="0.35">
      <c r="A9" t="s">
        <v>13</v>
      </c>
      <c r="B9" t="s">
        <v>26</v>
      </c>
      <c r="C9">
        <v>75</v>
      </c>
      <c r="D9" t="s">
        <v>71</v>
      </c>
      <c r="E9" t="s">
        <v>36</v>
      </c>
    </row>
    <row r="10" spans="1:5" x14ac:dyDescent="0.35">
      <c r="A10" t="s">
        <v>14</v>
      </c>
      <c r="B10" t="s">
        <v>26</v>
      </c>
      <c r="C10">
        <v>8</v>
      </c>
      <c r="D10" t="s">
        <v>72</v>
      </c>
      <c r="E10" t="s">
        <v>37</v>
      </c>
    </row>
    <row r="11" spans="1:5" x14ac:dyDescent="0.35">
      <c r="A11" t="s">
        <v>15</v>
      </c>
      <c r="B11" t="s">
        <v>26</v>
      </c>
      <c r="C11">
        <v>5</v>
      </c>
      <c r="D11" t="s">
        <v>72</v>
      </c>
      <c r="E11" t="s">
        <v>38</v>
      </c>
    </row>
    <row r="12" spans="1:5" x14ac:dyDescent="0.35">
      <c r="A12" t="s">
        <v>16</v>
      </c>
      <c r="B12" t="s">
        <v>26</v>
      </c>
      <c r="C12">
        <v>2</v>
      </c>
      <c r="D12" t="s">
        <v>26</v>
      </c>
      <c r="E12" t="s">
        <v>39</v>
      </c>
    </row>
    <row r="13" spans="1:5" x14ac:dyDescent="0.35">
      <c r="A13" t="s">
        <v>17</v>
      </c>
      <c r="B13" t="s">
        <v>26</v>
      </c>
      <c r="C13">
        <v>3</v>
      </c>
      <c r="D13" t="s">
        <v>26</v>
      </c>
      <c r="E13" t="s">
        <v>40</v>
      </c>
    </row>
    <row r="14" spans="1:5" x14ac:dyDescent="0.35">
      <c r="A14" t="s">
        <v>18</v>
      </c>
      <c r="B14" t="s">
        <v>29</v>
      </c>
      <c r="C14">
        <v>0</v>
      </c>
      <c r="D14" t="s">
        <v>73</v>
      </c>
      <c r="E14" t="s">
        <v>41</v>
      </c>
    </row>
    <row r="15" spans="1:5" x14ac:dyDescent="0.35">
      <c r="A15" t="s">
        <v>19</v>
      </c>
      <c r="B15" t="s">
        <v>30</v>
      </c>
      <c r="C15">
        <v>10</v>
      </c>
      <c r="D15" t="s">
        <v>74</v>
      </c>
      <c r="E15" t="s">
        <v>42</v>
      </c>
    </row>
    <row r="16" spans="1:5" x14ac:dyDescent="0.35">
      <c r="A16" t="s">
        <v>20</v>
      </c>
      <c r="B16" t="s">
        <v>31</v>
      </c>
      <c r="C16">
        <v>20</v>
      </c>
      <c r="D16" t="s">
        <v>74</v>
      </c>
      <c r="E16" t="s">
        <v>43</v>
      </c>
    </row>
    <row r="17" spans="1:5" x14ac:dyDescent="0.35">
      <c r="A17" s="1" t="s">
        <v>7</v>
      </c>
    </row>
    <row r="18" spans="1:5" x14ac:dyDescent="0.35">
      <c r="A18" t="s">
        <v>21</v>
      </c>
      <c r="B18" t="s">
        <v>26</v>
      </c>
      <c r="C18">
        <v>25</v>
      </c>
      <c r="D18" t="s">
        <v>75</v>
      </c>
      <c r="E18" t="s">
        <v>44</v>
      </c>
    </row>
    <row r="19" spans="1:5" x14ac:dyDescent="0.35">
      <c r="A19" t="s">
        <v>22</v>
      </c>
      <c r="B19" t="s">
        <v>26</v>
      </c>
      <c r="C19">
        <v>125</v>
      </c>
      <c r="D19" t="s">
        <v>75</v>
      </c>
      <c r="E19" t="s">
        <v>45</v>
      </c>
    </row>
    <row r="20" spans="1:5" x14ac:dyDescent="0.35">
      <c r="A20" t="s">
        <v>23</v>
      </c>
      <c r="B20" t="s">
        <v>26</v>
      </c>
      <c r="C20">
        <v>35</v>
      </c>
      <c r="D20" t="s">
        <v>75</v>
      </c>
      <c r="E20" t="s">
        <v>46</v>
      </c>
    </row>
    <row r="21" spans="1:5" x14ac:dyDescent="0.35">
      <c r="A21" t="s">
        <v>24</v>
      </c>
      <c r="B21" t="s">
        <v>26</v>
      </c>
      <c r="C21">
        <v>5</v>
      </c>
      <c r="D21" t="s">
        <v>75</v>
      </c>
      <c r="E21" t="s">
        <v>47</v>
      </c>
    </row>
    <row r="23" spans="1:5" x14ac:dyDescent="0.35">
      <c r="A23" s="1" t="s">
        <v>8</v>
      </c>
    </row>
    <row r="24" spans="1:5" x14ac:dyDescent="0.35">
      <c r="A24" t="s">
        <v>48</v>
      </c>
      <c r="C24">
        <f>C7+C8</f>
        <v>200</v>
      </c>
      <c r="D24" t="s">
        <v>70</v>
      </c>
    </row>
    <row r="25" spans="1:5" s="2" customFormat="1" x14ac:dyDescent="0.35">
      <c r="A25" s="2" t="s">
        <v>49</v>
      </c>
      <c r="C25" s="2">
        <f>C5*(C7+C8)/1000+C14</f>
        <v>10000</v>
      </c>
      <c r="D25" s="2" t="s">
        <v>73</v>
      </c>
    </row>
    <row r="26" spans="1:5" s="3" customFormat="1" x14ac:dyDescent="0.35">
      <c r="A26" s="3" t="s">
        <v>50</v>
      </c>
      <c r="C26" s="3">
        <f>C25/24</f>
        <v>416.66666666666669</v>
      </c>
      <c r="D26" s="3" t="s">
        <v>76</v>
      </c>
    </row>
    <row r="27" spans="1:5" s="4" customFormat="1" x14ac:dyDescent="0.35">
      <c r="A27" s="4" t="s">
        <v>50</v>
      </c>
      <c r="C27" s="4">
        <f>C25/86400</f>
        <v>0.11574074074074074</v>
      </c>
      <c r="D27" s="4" t="s">
        <v>77</v>
      </c>
    </row>
    <row r="28" spans="1:5" s="2" customFormat="1" x14ac:dyDescent="0.35">
      <c r="A28" s="2" t="s">
        <v>51</v>
      </c>
      <c r="C28" s="2">
        <f>C13*C5*C7/1000+C5*C8/1000+C13*C14</f>
        <v>25000</v>
      </c>
      <c r="D28" s="2" t="s">
        <v>73</v>
      </c>
    </row>
    <row r="29" spans="1:5" s="3" customFormat="1" x14ac:dyDescent="0.35">
      <c r="A29" s="3" t="s">
        <v>52</v>
      </c>
      <c r="C29" s="3">
        <f>C28/24</f>
        <v>1041.6666666666667</v>
      </c>
      <c r="D29" s="3" t="s">
        <v>76</v>
      </c>
    </row>
    <row r="30" spans="1:5" s="4" customFormat="1" x14ac:dyDescent="0.35">
      <c r="A30" s="4" t="s">
        <v>52</v>
      </c>
      <c r="C30" s="4">
        <f>C28/86400</f>
        <v>0.28935185185185186</v>
      </c>
      <c r="D30" s="4" t="s">
        <v>77</v>
      </c>
    </row>
    <row r="31" spans="1:5" s="2" customFormat="1" x14ac:dyDescent="0.35">
      <c r="A31" s="2" t="s">
        <v>53</v>
      </c>
      <c r="C31" s="2">
        <f>C5*C6/1000</f>
        <v>3000</v>
      </c>
      <c r="D31" s="2" t="s">
        <v>78</v>
      </c>
    </row>
    <row r="32" spans="1:5" x14ac:dyDescent="0.35">
      <c r="A32" t="s">
        <v>54</v>
      </c>
      <c r="C32">
        <f>C31*1000/C25</f>
        <v>300</v>
      </c>
      <c r="D32" t="s">
        <v>75</v>
      </c>
      <c r="E32" s="4"/>
    </row>
    <row r="33" spans="1:5" s="2" customFormat="1" x14ac:dyDescent="0.35">
      <c r="A33" s="2" t="s">
        <v>55</v>
      </c>
      <c r="C33" s="2">
        <f>C5*C9/1000</f>
        <v>3750</v>
      </c>
      <c r="D33" s="2" t="s">
        <v>78</v>
      </c>
    </row>
    <row r="34" spans="1:5" s="5" customFormat="1" x14ac:dyDescent="0.35">
      <c r="A34" s="5" t="s">
        <v>56</v>
      </c>
      <c r="C34" s="5">
        <f>C33*1000/C25</f>
        <v>375</v>
      </c>
      <c r="D34" s="5" t="s">
        <v>75</v>
      </c>
    </row>
    <row r="35" spans="1:5" s="2" customFormat="1" x14ac:dyDescent="0.35">
      <c r="A35" s="2" t="s">
        <v>57</v>
      </c>
      <c r="C35" s="2">
        <f>C5*C10/1000</f>
        <v>400</v>
      </c>
      <c r="D35" s="2" t="s">
        <v>79</v>
      </c>
    </row>
    <row r="36" spans="1:5" s="2" customFormat="1" x14ac:dyDescent="0.35">
      <c r="A36" s="2" t="s">
        <v>58</v>
      </c>
      <c r="C36" s="2">
        <f>C5*(C10+C11)/1000</f>
        <v>650</v>
      </c>
      <c r="D36" s="2" t="s">
        <v>79</v>
      </c>
      <c r="E36" s="5"/>
    </row>
    <row r="37" spans="1:5" s="5" customFormat="1" x14ac:dyDescent="0.35">
      <c r="A37" s="5" t="s">
        <v>59</v>
      </c>
      <c r="C37" s="5">
        <f>C36*1000/C25</f>
        <v>65</v>
      </c>
      <c r="D37" s="5" t="s">
        <v>75</v>
      </c>
    </row>
    <row r="38" spans="1:5" s="5" customFormat="1" x14ac:dyDescent="0.35">
      <c r="A38" s="5" t="s">
        <v>60</v>
      </c>
      <c r="C38" s="5">
        <f>C35*1000/C25</f>
        <v>40</v>
      </c>
      <c r="D38" s="5" t="s">
        <v>75</v>
      </c>
      <c r="E38" s="6"/>
    </row>
    <row r="39" spans="1:5" s="5" customFormat="1" x14ac:dyDescent="0.35">
      <c r="A39" s="5" t="s">
        <v>61</v>
      </c>
      <c r="C39" s="5">
        <f>C32*C12</f>
        <v>600</v>
      </c>
      <c r="D39" s="5" t="s">
        <v>75</v>
      </c>
    </row>
    <row r="40" spans="1:5" s="2" customFormat="1" x14ac:dyDescent="0.35">
      <c r="A40" s="2" t="s">
        <v>62</v>
      </c>
      <c r="C40" s="2">
        <f>C39*C25/1000</f>
        <v>6000</v>
      </c>
      <c r="D40" s="2" t="s">
        <v>78</v>
      </c>
    </row>
    <row r="41" spans="1:5" s="6" customFormat="1" x14ac:dyDescent="0.35">
      <c r="A41" s="6" t="s">
        <v>63</v>
      </c>
      <c r="C41" s="6">
        <f>(1-C18/C32)</f>
        <v>0.91666666666666663</v>
      </c>
      <c r="D41" s="6" t="s">
        <v>80</v>
      </c>
    </row>
    <row r="42" spans="1:5" s="6" customFormat="1" x14ac:dyDescent="0.35">
      <c r="A42" s="6" t="s">
        <v>64</v>
      </c>
      <c r="C42" s="6">
        <f>(1-C19/C39)</f>
        <v>0.79166666666666663</v>
      </c>
      <c r="D42" s="6" t="s">
        <v>80</v>
      </c>
    </row>
    <row r="43" spans="1:5" s="6" customFormat="1" x14ac:dyDescent="0.35">
      <c r="A43" s="6" t="s">
        <v>65</v>
      </c>
      <c r="C43" s="6">
        <f>(1-C20/C34)</f>
        <v>0.90666666666666662</v>
      </c>
      <c r="D43" s="6" t="s">
        <v>80</v>
      </c>
    </row>
    <row r="44" spans="1:5" s="6" customFormat="1" x14ac:dyDescent="0.35">
      <c r="A44" s="6" t="s">
        <v>66</v>
      </c>
      <c r="C44" s="6">
        <f>(1-C21/C38)</f>
        <v>0.875</v>
      </c>
      <c r="D44" s="6" t="s">
        <v>80</v>
      </c>
    </row>
    <row r="46" spans="1:5" s="2" customFormat="1" x14ac:dyDescent="0.35">
      <c r="A46" s="2" t="s">
        <v>67</v>
      </c>
      <c r="C46" s="2">
        <f>C25*C32/1000-C31</f>
        <v>0</v>
      </c>
      <c r="D46" s="2" t="s">
        <v>78</v>
      </c>
    </row>
    <row r="49" spans="5:5" x14ac:dyDescent="0.35">
      <c r="E49" s="3"/>
    </row>
  </sheetData>
  <pageMargins left="0.7" right="0.7" top="0.75" bottom="0.75" header="0.3" footer="0.3"/>
  <ignoredErrors>
    <ignoredError sqref="C4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5503-1FDB-4344-A7E4-2522F6B534CB}">
  <dimension ref="A1:E24"/>
  <sheetViews>
    <sheetView tabSelected="1" zoomScale="65" workbookViewId="0">
      <selection activeCell="H12" sqref="H12"/>
    </sheetView>
  </sheetViews>
  <sheetFormatPr defaultRowHeight="14.5" x14ac:dyDescent="0.35"/>
  <cols>
    <col min="1" max="1" width="43.90625" customWidth="1"/>
    <col min="3" max="3" width="7.81640625" bestFit="1" customWidth="1"/>
    <col min="4" max="4" width="20.453125" bestFit="1" customWidth="1"/>
    <col min="5" max="5" width="32.36328125" customWidth="1"/>
  </cols>
  <sheetData>
    <row r="1" spans="1:5" ht="29" x14ac:dyDescent="0.35">
      <c r="A1" s="12" t="s">
        <v>81</v>
      </c>
    </row>
    <row r="2" spans="1:5" ht="29" x14ac:dyDescent="0.35">
      <c r="A2" s="12" t="s">
        <v>82</v>
      </c>
    </row>
    <row r="3" spans="1:5" ht="43.5" x14ac:dyDescent="0.35">
      <c r="A3" s="12" t="s">
        <v>83</v>
      </c>
    </row>
    <row r="4" spans="1:5" ht="43.5" x14ac:dyDescent="0.35">
      <c r="A4" s="12" t="s">
        <v>84</v>
      </c>
    </row>
    <row r="5" spans="1:5" ht="43.5" x14ac:dyDescent="0.35">
      <c r="A5" s="12" t="s">
        <v>85</v>
      </c>
    </row>
    <row r="6" spans="1:5" x14ac:dyDescent="0.35">
      <c r="A6" s="8"/>
    </row>
    <row r="7" spans="1:5" x14ac:dyDescent="0.35">
      <c r="A7" s="7"/>
    </row>
    <row r="8" spans="1:5" x14ac:dyDescent="0.35">
      <c r="A8" s="7" t="s">
        <v>86</v>
      </c>
      <c r="B8" s="7" t="s">
        <v>2</v>
      </c>
      <c r="C8" s="7" t="s">
        <v>3</v>
      </c>
      <c r="D8" s="7" t="s">
        <v>87</v>
      </c>
      <c r="E8" s="7" t="s">
        <v>88</v>
      </c>
    </row>
    <row r="9" spans="1:5" x14ac:dyDescent="0.35">
      <c r="A9" t="s">
        <v>89</v>
      </c>
      <c r="B9">
        <v>40</v>
      </c>
      <c r="C9" t="s">
        <v>90</v>
      </c>
      <c r="D9" t="s">
        <v>91</v>
      </c>
      <c r="E9" t="s">
        <v>92</v>
      </c>
    </row>
    <row r="10" spans="1:5" x14ac:dyDescent="0.35">
      <c r="A10" s="10" t="s">
        <v>93</v>
      </c>
      <c r="B10" s="10">
        <v>100</v>
      </c>
      <c r="C10" s="10" t="s">
        <v>127</v>
      </c>
      <c r="D10" s="10" t="s">
        <v>128</v>
      </c>
      <c r="E10" s="10" t="s">
        <v>129</v>
      </c>
    </row>
    <row r="11" spans="1:5" ht="29" x14ac:dyDescent="0.35">
      <c r="A11" s="10" t="s">
        <v>94</v>
      </c>
      <c r="B11" s="10">
        <v>2</v>
      </c>
      <c r="C11" s="10" t="s">
        <v>130</v>
      </c>
      <c r="D11" s="10" t="s">
        <v>131</v>
      </c>
      <c r="E11" s="10" t="s">
        <v>132</v>
      </c>
    </row>
    <row r="12" spans="1:5" ht="29" x14ac:dyDescent="0.35">
      <c r="A12" s="10" t="s">
        <v>95</v>
      </c>
      <c r="B12" s="10">
        <v>30</v>
      </c>
      <c r="C12" s="10" t="s">
        <v>80</v>
      </c>
      <c r="D12" s="10" t="s">
        <v>96</v>
      </c>
      <c r="E12" s="10" t="s">
        <v>97</v>
      </c>
    </row>
    <row r="13" spans="1:5" ht="29" x14ac:dyDescent="0.35">
      <c r="A13" s="10" t="s">
        <v>98</v>
      </c>
      <c r="B13" s="10">
        <v>60</v>
      </c>
      <c r="C13" s="10" t="s">
        <v>80</v>
      </c>
      <c r="D13" s="10" t="s">
        <v>99</v>
      </c>
      <c r="E13" s="10" t="s">
        <v>100</v>
      </c>
    </row>
    <row r="14" spans="1:5" ht="29" x14ac:dyDescent="0.35">
      <c r="A14" s="10" t="s">
        <v>101</v>
      </c>
      <c r="B14" s="10">
        <v>30</v>
      </c>
      <c r="C14" s="10" t="s">
        <v>80</v>
      </c>
      <c r="D14" s="10" t="s">
        <v>102</v>
      </c>
      <c r="E14" s="10" t="s">
        <v>103</v>
      </c>
    </row>
    <row r="15" spans="1:5" x14ac:dyDescent="0.35">
      <c r="A15" s="10" t="s">
        <v>104</v>
      </c>
      <c r="B15" s="10">
        <v>10</v>
      </c>
      <c r="C15" s="10" t="s">
        <v>80</v>
      </c>
      <c r="D15" s="10" t="s">
        <v>105</v>
      </c>
      <c r="E15" s="10" t="s">
        <v>103</v>
      </c>
    </row>
    <row r="16" spans="1:5" ht="29" x14ac:dyDescent="0.35">
      <c r="A16" s="10" t="s">
        <v>106</v>
      </c>
      <c r="B16" s="10">
        <v>0</v>
      </c>
      <c r="C16" s="10" t="s">
        <v>80</v>
      </c>
      <c r="D16" s="10" t="s">
        <v>107</v>
      </c>
      <c r="E16" s="10" t="s">
        <v>103</v>
      </c>
    </row>
    <row r="17" spans="1:5" x14ac:dyDescent="0.35">
      <c r="A17" s="10" t="s">
        <v>108</v>
      </c>
      <c r="B17" s="10">
        <v>2</v>
      </c>
      <c r="C17" s="10" t="s">
        <v>103</v>
      </c>
      <c r="D17" s="10" t="s">
        <v>109</v>
      </c>
      <c r="E17" s="10" t="s">
        <v>103</v>
      </c>
    </row>
    <row r="18" spans="1:5" x14ac:dyDescent="0.35">
      <c r="A18" s="10" t="s">
        <v>110</v>
      </c>
      <c r="B18" s="10">
        <v>0.9</v>
      </c>
      <c r="C18" s="10" t="s">
        <v>111</v>
      </c>
      <c r="D18" s="10" t="s">
        <v>112</v>
      </c>
      <c r="E18" s="10" t="s">
        <v>113</v>
      </c>
    </row>
    <row r="19" spans="1:5" ht="43.5" x14ac:dyDescent="0.35">
      <c r="A19" s="10" t="s">
        <v>114</v>
      </c>
      <c r="B19" s="10">
        <v>20</v>
      </c>
      <c r="C19" s="10" t="s">
        <v>115</v>
      </c>
      <c r="D19" s="10" t="s">
        <v>116</v>
      </c>
      <c r="E19" s="10" t="s">
        <v>117</v>
      </c>
    </row>
    <row r="20" spans="1:5" x14ac:dyDescent="0.35">
      <c r="A20" s="10" t="s">
        <v>118</v>
      </c>
      <c r="B20" s="10">
        <v>10</v>
      </c>
      <c r="C20" s="10" t="s">
        <v>115</v>
      </c>
      <c r="D20" s="10" t="s">
        <v>119</v>
      </c>
      <c r="E20" s="10" t="s">
        <v>117</v>
      </c>
    </row>
    <row r="21" spans="1:5" ht="29" x14ac:dyDescent="0.35">
      <c r="A21" s="10" t="s">
        <v>120</v>
      </c>
      <c r="B21" s="10" t="s">
        <v>121</v>
      </c>
      <c r="C21" s="10" t="s">
        <v>122</v>
      </c>
      <c r="D21" s="10" t="s">
        <v>123</v>
      </c>
      <c r="E21" s="10" t="s">
        <v>117</v>
      </c>
    </row>
    <row r="22" spans="1:5" ht="43.5" x14ac:dyDescent="0.35">
      <c r="A22" s="10" t="s">
        <v>124</v>
      </c>
      <c r="B22" s="10">
        <v>180</v>
      </c>
      <c r="C22" s="10" t="s">
        <v>125</v>
      </c>
      <c r="D22" s="10" t="s">
        <v>105</v>
      </c>
      <c r="E22" s="10" t="s">
        <v>126</v>
      </c>
    </row>
    <row r="24" spans="1:5" s="11" customFormat="1" x14ac:dyDescent="0.35">
      <c r="A24" s="11" t="s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Lanster Desa</dc:creator>
  <cp:lastModifiedBy>Lanster Desa</cp:lastModifiedBy>
  <dcterms:created xsi:type="dcterms:W3CDTF">2026-10-23T18:01:56Z</dcterms:created>
  <dcterms:modified xsi:type="dcterms:W3CDTF">2026-10-23T20:40:27Z</dcterms:modified>
</cp:coreProperties>
</file>